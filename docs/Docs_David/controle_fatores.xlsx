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4EE6BDA0-B860-4930-84F2-F2FCF6219E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role de Fatores" sheetId="1" r:id="rId1"/>
    <sheet name="Calendário de Relatóri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4" i="2"/>
  <c r="H3" i="2"/>
  <c r="H2" i="2"/>
  <c r="H5" i="1"/>
  <c r="H4" i="1"/>
  <c r="H3" i="1"/>
  <c r="H2" i="1"/>
</calcChain>
</file>

<file path=xl/sharedStrings.xml><?xml version="1.0" encoding="utf-8"?>
<sst xmlns="http://schemas.openxmlformats.org/spreadsheetml/2006/main" count="358" uniqueCount="216">
  <si>
    <t>Ativo</t>
  </si>
  <si>
    <t>Fator</t>
  </si>
  <si>
    <t>Tipo</t>
  </si>
  <si>
    <t>Peso relativo</t>
  </si>
  <si>
    <t>Fonte de dados</t>
  </si>
  <si>
    <t>Indicador de monitoramento</t>
  </si>
  <si>
    <t>Resumo (cálculo)</t>
  </si>
  <si>
    <t>Café</t>
  </si>
  <si>
    <t>Clima e eventos meteorológicos (geadas, secas, chuvas)</t>
  </si>
  <si>
    <t>Climático</t>
  </si>
  <si>
    <t>Alto</t>
  </si>
  <si>
    <t>Conab, USDA, Somar Meteorologia</t>
  </si>
  <si>
    <t>Alertas climáticos, previsão 15 dias, relatórios de geada</t>
  </si>
  <si>
    <t>Total de fatores</t>
  </si>
  <si>
    <t>Safra brasileira (bienalidade do café)</t>
  </si>
  <si>
    <t>Fundamentalista</t>
  </si>
  <si>
    <t>Conab, ICO</t>
  </si>
  <si>
    <t>Boletim da Safra de Café (levantamentos)</t>
  </si>
  <si>
    <t>Peso relativo = Alto</t>
  </si>
  <si>
    <t>Estoque global e certificado (ICE)</t>
  </si>
  <si>
    <t>ICO, ICE</t>
  </si>
  <si>
    <t>Estoque certificado ICE, balanço ICO</t>
  </si>
  <si>
    <t>Peso relativo = Médio</t>
  </si>
  <si>
    <t>Dólar (USDBRL)</t>
  </si>
  <si>
    <t>Cambial</t>
  </si>
  <si>
    <t>Médio</t>
  </si>
  <si>
    <t>Cepea, BCB</t>
  </si>
  <si>
    <t>Cotação USDBRL, indicador Cepea</t>
  </si>
  <si>
    <t>Peso relativo = Baixo</t>
  </si>
  <si>
    <t>Custo de produção e preço mínimo</t>
  </si>
  <si>
    <t>Conab, MAPA</t>
  </si>
  <si>
    <t>Preço mínimo, custos de insumos</t>
  </si>
  <si>
    <t>Demanda global e consumo</t>
  </si>
  <si>
    <t>ICO, USDA</t>
  </si>
  <si>
    <t>Consumo global, importações</t>
  </si>
  <si>
    <t>Especulação e posicionamento de fundos</t>
  </si>
  <si>
    <t>Técnico/Fluxo</t>
  </si>
  <si>
    <t>CFTC (COT), ICE</t>
  </si>
  <si>
    <t>COT semanal, volume ICE</t>
  </si>
  <si>
    <t>Política monetária e juros globais</t>
  </si>
  <si>
    <t>Macroeconômico</t>
  </si>
  <si>
    <t>Baixo</t>
  </si>
  <si>
    <t>Fed, BCB</t>
  </si>
  <si>
    <t>Taxa Fed, Copom</t>
  </si>
  <si>
    <t>Milho</t>
  </si>
  <si>
    <t>Clima e safra nos EUA (Crop Progress)</t>
  </si>
  <si>
    <t>USDA/NASS, NOAA</t>
  </si>
  <si>
    <t>Crop Progress semanal, previsão climática</t>
  </si>
  <si>
    <t>Safrinha brasileira (2ª safra)</t>
  </si>
  <si>
    <t>Conab, IMEA</t>
  </si>
  <si>
    <t>Boletim de safra Conab, boletim IMEA</t>
  </si>
  <si>
    <t>Estoques globais e balanço oferta/demanda (WASDE)</t>
  </si>
  <si>
    <t>USDA/FAS</t>
  </si>
  <si>
    <t>WASDE mensal, relação estoque/uso</t>
  </si>
  <si>
    <t>Dólar (USDBRL) e paridade de exportação</t>
  </si>
  <si>
    <t>Cepea, Comex Stat</t>
  </si>
  <si>
    <t>Paridade de exportação, USDBRL</t>
  </si>
  <si>
    <t>Demanda de etanol e biocombustível</t>
  </si>
  <si>
    <t>EIA, USDA</t>
  </si>
  <si>
    <t>Produção de etanol, estoques</t>
  </si>
  <si>
    <t>Custo de insumos (fertilizantes, diesel)</t>
  </si>
  <si>
    <t>Fertilizantes, diesel</t>
  </si>
  <si>
    <t>CFTC (COT), CME</t>
  </si>
  <si>
    <t>COT semanal</t>
  </si>
  <si>
    <t>Política comercial e exportações (China, tarifas)</t>
  </si>
  <si>
    <t>Geopolítico</t>
  </si>
  <si>
    <t>Comex Stat, USDA</t>
  </si>
  <si>
    <t>Exportações, tarifas</t>
  </si>
  <si>
    <t>Ouro</t>
  </si>
  <si>
    <t>Juros reais (Fed) e rendimento dos títulos</t>
  </si>
  <si>
    <t>Federal Reserve, US Treasury</t>
  </si>
  <si>
    <t>FOMC, yield 10 anos, juros reais</t>
  </si>
  <si>
    <t>Dólar (índice DXY)</t>
  </si>
  <si>
    <t>US Treasury, World Bank</t>
  </si>
  <si>
    <t>Índice DXY</t>
  </si>
  <si>
    <t>Inflação e expectativas inflacionárias</t>
  </si>
  <si>
    <t>Fed, IMF</t>
  </si>
  <si>
    <t>CPI, breakeven inflation</t>
  </si>
  <si>
    <t>Geopolítica e risco sistêmico</t>
  </si>
  <si>
    <t>World Gold Council</t>
  </si>
  <si>
    <t>Índice de risco, eventos</t>
  </si>
  <si>
    <t>Demanda de bancos centrais (reservas)</t>
  </si>
  <si>
    <t>World Gold Council, IMF, BCB</t>
  </si>
  <si>
    <t>Compras de reservas</t>
  </si>
  <si>
    <t>Fluxo de ETFs de ouro</t>
  </si>
  <si>
    <t>Fundamentalista/Fluxo</t>
  </si>
  <si>
    <t>Fluxo ETFs, holdings</t>
  </si>
  <si>
    <t>Posicionamento de fundos (COT)</t>
  </si>
  <si>
    <t>CFTC</t>
  </si>
  <si>
    <t>Produção e oferta de mineração</t>
  </si>
  <si>
    <t>USGS</t>
  </si>
  <si>
    <t>Produção mineral global</t>
  </si>
  <si>
    <t>Petróleo</t>
  </si>
  <si>
    <t>Decisões da OPEP+ (cotas de produção)</t>
  </si>
  <si>
    <t>Geopolítico/Fundamentalista</t>
  </si>
  <si>
    <t>OPEC</t>
  </si>
  <si>
    <t>MOMR, reuniões OPEP+</t>
  </si>
  <si>
    <t>Estoques de petróleo dos EUA (EIA)</t>
  </si>
  <si>
    <t>EIA, API</t>
  </si>
  <si>
    <t>Weekly Petroleum Status Report</t>
  </si>
  <si>
    <t>Geopolítica e conflitos (Oriente Médio, Rússia)</t>
  </si>
  <si>
    <t>EIA, IEA</t>
  </si>
  <si>
    <t>Eventos, risco de interrupção de oferta</t>
  </si>
  <si>
    <t>Demanda global e atividade econômica</t>
  </si>
  <si>
    <t>IEA, OPEC</t>
  </si>
  <si>
    <t>OMR, PMI, crescimento China</t>
  </si>
  <si>
    <t>US Treasury</t>
  </si>
  <si>
    <t>Produção dos EUA (shale) e rig count</t>
  </si>
  <si>
    <t>EIA, Baker Hughes</t>
  </si>
  <si>
    <t>Rig count semanal, produção</t>
  </si>
  <si>
    <t>Juros e expectativas macro</t>
  </si>
  <si>
    <t>Fed</t>
  </si>
  <si>
    <t>FOMC</t>
  </si>
  <si>
    <t>Especulação e posicionamento de fundos (COT)</t>
  </si>
  <si>
    <t>Refino e margens (crack spreads)</t>
  </si>
  <si>
    <t>EIA</t>
  </si>
  <si>
    <t>Crack spreads, utilização de refinarias</t>
  </si>
  <si>
    <t>Oferta não-OPEP (Brasil, Guiana, Noruega)</t>
  </si>
  <si>
    <t>ANP, EIA, IEA</t>
  </si>
  <si>
    <t>Produção ANP, dados EIA</t>
  </si>
  <si>
    <t>Relatório</t>
  </si>
  <si>
    <t>Fonte</t>
  </si>
  <si>
    <t>Ativo impactado</t>
  </si>
  <si>
    <t>Periodicidade</t>
  </si>
  <si>
    <t>Dia/horário de divulgação</t>
  </si>
  <si>
    <t>Formato de acesso</t>
  </si>
  <si>
    <t>WASDE (World Agricultural Supply and Demand Estimates)</t>
  </si>
  <si>
    <t>USDA</t>
  </si>
  <si>
    <t>Milho, Café</t>
  </si>
  <si>
    <t>Mensal</t>
  </si>
  <si>
    <t>12:00 ET, ~dia 10 do mês. 2026: 12/jan, 10/fev, 10/mar, 09/abr, 12/mai, 11/jun, 10/jul, 12/ago, 11/set, 09/out, 10/nov, 10/dez</t>
  </si>
  <si>
    <t>API + PDF</t>
  </si>
  <si>
    <t>Total de relatórios</t>
  </si>
  <si>
    <t>Crop Progress</t>
  </si>
  <si>
    <t>USDA/NASS</t>
  </si>
  <si>
    <t>Semanal (sazonal)</t>
  </si>
  <si>
    <t>16:00 ET, segundas-feiras (mar-nov)</t>
  </si>
  <si>
    <t>PDF + API</t>
  </si>
  <si>
    <t>Periodicidade = Mensal</t>
  </si>
  <si>
    <t>Boletim da Safra de Grãos</t>
  </si>
  <si>
    <t>Conab</t>
  </si>
  <si>
    <t>09h00, ~dia 8-15 do mês (12º levantamento 2025/26: 15/09/2026)</t>
  </si>
  <si>
    <t>PDF + XLSX</t>
  </si>
  <si>
    <t>Periodicidade = Semanal</t>
  </si>
  <si>
    <t>Boletim da Safra de Café</t>
  </si>
  <si>
    <t>2-3x por ano</t>
  </si>
  <si>
    <t>1º levantamento: fev; 2º: mai; 3º: set (2026: 05/fev, 21/mai)</t>
  </si>
  <si>
    <t>Periodicidade = *Semanal*</t>
  </si>
  <si>
    <t>Semanal</t>
  </si>
  <si>
    <t>10:30 ET, quartas-feiras (2026: 23/set, 30/set, 07/out, 14/out, 21/out, 28/out, 04/nov, 11/nov, 18/nov, 25/nov, 02/dez)</t>
  </si>
  <si>
    <t>STEO (Short-Term Energy Outlook)</t>
  </si>
  <si>
    <t>~2ª semana do mês</t>
  </si>
  <si>
    <t>Monthly Oil Market Report (MOMR)</t>
  </si>
  <si>
    <t>~1ª-2ª semana do mês</t>
  </si>
  <si>
    <t>Oil Market Report (OMR)</t>
  </si>
  <si>
    <t>IEA</t>
  </si>
  <si>
    <t>~2ª semana do mês (set/2026: dia 09)</t>
  </si>
  <si>
    <t>PDF (assinatura)</t>
  </si>
  <si>
    <t>Reuniões OPEP+</t>
  </si>
  <si>
    <t>OPEC+</t>
  </si>
  <si>
    <t>Periódico (mensal/trimestral)</t>
  </si>
  <si>
    <t>Anúncio prévio; 8 países reúnem-se mensalmente</t>
  </si>
  <si>
    <t>Comunicado</t>
  </si>
  <si>
    <t>COT (Commitments of Traders)</t>
  </si>
  <si>
    <t>Ouro, Petróleo, Café, Milho</t>
  </si>
  <si>
    <t>15:30 ET, sextas-feiras</t>
  </si>
  <si>
    <t>CSV/TXT</t>
  </si>
  <si>
    <t>Rig Count</t>
  </si>
  <si>
    <t>Baker Hughes</t>
  </si>
  <si>
    <t>~13:00 ET, sextas-feiras</t>
  </si>
  <si>
    <t>HTML/XLSX</t>
  </si>
  <si>
    <t>Weekly Statistical Bulletin</t>
  </si>
  <si>
    <t>API</t>
  </si>
  <si>
    <t>16:30 ET, terças-feiras</t>
  </si>
  <si>
    <t>PDF/XLSX</t>
  </si>
  <si>
    <t>Reuniões FOMC</t>
  </si>
  <si>
    <t>Federal Reserve</t>
  </si>
  <si>
    <t>Ouro, Petróleo</t>
  </si>
  <si>
    <t>8x por ano</t>
  </si>
  <si>
    <t>14:00 ET, 2 dias (2026: 27-28/jan, 17-18/mar, 28-29/abr, 16-17/jun, 28-29/jul, 15-16/set, 27-28/out, 08-09/dez)</t>
  </si>
  <si>
    <t>Comunicado + API</t>
  </si>
  <si>
    <t>Gold Demand Trends</t>
  </si>
  <si>
    <t>Trimestral</t>
  </si>
  <si>
    <t>~final do trimestre</t>
  </si>
  <si>
    <t>XLSX + PDF</t>
  </si>
  <si>
    <t>LBMA Gold Price</t>
  </si>
  <si>
    <t>LBMA</t>
  </si>
  <si>
    <t>Diário</t>
  </si>
  <si>
    <t>10:30 e 15:00 (Londres)</t>
  </si>
  <si>
    <t>HTML/CSV</t>
  </si>
  <si>
    <t>Gold Reserve Statistics</t>
  </si>
  <si>
    <t>IMF</t>
  </si>
  <si>
    <t>~final do mês</t>
  </si>
  <si>
    <t>API (SDMX)</t>
  </si>
  <si>
    <t>Relatório Focus e Reservas</t>
  </si>
  <si>
    <t>Banco Central do Brasil</t>
  </si>
  <si>
    <t>Semanal/Mensal</t>
  </si>
  <si>
    <t>Focus: segundas; Reservas: mensal</t>
  </si>
  <si>
    <t>Coffee Market Report</t>
  </si>
  <si>
    <t>ICO</t>
  </si>
  <si>
    <t>~início do mês</t>
  </si>
  <si>
    <t>Indicadores de Preços</t>
  </si>
  <si>
    <t>Cepea/Esalq</t>
  </si>
  <si>
    <t>Café, Milho</t>
  </si>
  <si>
    <t>Fechamento do dia</t>
  </si>
  <si>
    <t>HTML</t>
  </si>
  <si>
    <t>Exportações (Comex Stat)</t>
  </si>
  <si>
    <t>MDIC</t>
  </si>
  <si>
    <t>~dia 15 do mês</t>
  </si>
  <si>
    <t>Relatório de Exportações</t>
  </si>
  <si>
    <t>Cecafé</t>
  </si>
  <si>
    <t>~dia 10-15 do mês</t>
  </si>
  <si>
    <t>PDF</t>
  </si>
  <si>
    <t>Boletim Mensal</t>
  </si>
  <si>
    <t>IMEA</t>
  </si>
  <si>
    <t>XLSX/PDF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</si>
</sst>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B9" sqref="B9"/>
    </sheetView>
  </sheetViews>
  <sheetFormatPr defaultRowHeight="12.75" x14ac:dyDescent="0.25"/>
  <cols>
    <col min="1" max="1" width="9" style="2"/>
    <col min="2" max="2" width="42.5" style="5" customWidth="1"/>
    <col min="3" max="3" width="19.75" style="2" customWidth="1"/>
    <col min="4" max="4" width="13.75" style="2" customWidth="1"/>
    <col min="5" max="5" width="24.5" style="6" customWidth="1"/>
    <col min="6" max="6" width="39.75" style="5" customWidth="1"/>
    <col min="7" max="7" width="27" style="6" customWidth="1"/>
    <col min="8" max="8" width="9" style="2"/>
    <col min="9" max="16384" width="9" style="6"/>
  </cols>
  <sheetData>
    <row r="1" spans="1:8" s="1" customFormat="1" ht="19.5" customHeigh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1" t="s">
        <v>6</v>
      </c>
      <c r="H1" s="13"/>
    </row>
    <row r="2" spans="1:8" s="6" customFormat="1" ht="20.100000000000001" customHeight="1" x14ac:dyDescent="0.25">
      <c r="A2" s="13" t="s">
        <v>7</v>
      </c>
      <c r="B2" s="8" t="s">
        <v>8</v>
      </c>
      <c r="C2" s="14" t="s">
        <v>9</v>
      </c>
      <c r="D2" s="14" t="s">
        <v>10</v>
      </c>
      <c r="E2" s="10" t="s">
        <v>11</v>
      </c>
      <c r="F2" s="8" t="s">
        <v>12</v>
      </c>
      <c r="G2" s="10" t="s">
        <v>13</v>
      </c>
      <c r="H2" s="14">
        <f>COUNTA($D$2:$D$35)</f>
        <v>34</v>
      </c>
    </row>
    <row r="3" spans="1:8" s="6" customFormat="1" ht="20.100000000000001" customHeight="1" x14ac:dyDescent="0.25">
      <c r="A3" s="13" t="s">
        <v>7</v>
      </c>
      <c r="B3" s="8" t="s">
        <v>14</v>
      </c>
      <c r="C3" s="14" t="s">
        <v>15</v>
      </c>
      <c r="D3" s="14" t="s">
        <v>10</v>
      </c>
      <c r="E3" s="10" t="s">
        <v>16</v>
      </c>
      <c r="F3" s="8" t="s">
        <v>17</v>
      </c>
      <c r="G3" s="10" t="s">
        <v>18</v>
      </c>
      <c r="H3" s="14">
        <f>COUNTIF($D$2:$D$35,"Alto")</f>
        <v>15</v>
      </c>
    </row>
    <row r="4" spans="1:8" s="6" customFormat="1" ht="20.100000000000001" customHeight="1" x14ac:dyDescent="0.25">
      <c r="A4" s="13" t="s">
        <v>7</v>
      </c>
      <c r="B4" s="8" t="s">
        <v>19</v>
      </c>
      <c r="C4" s="14" t="s">
        <v>15</v>
      </c>
      <c r="D4" s="14" t="s">
        <v>10</v>
      </c>
      <c r="E4" s="10" t="s">
        <v>20</v>
      </c>
      <c r="F4" s="8" t="s">
        <v>21</v>
      </c>
      <c r="G4" s="10" t="s">
        <v>22</v>
      </c>
      <c r="H4" s="14">
        <f>COUNTIF($D$2:$D$35,"Médio")</f>
        <v>17</v>
      </c>
    </row>
    <row r="5" spans="1:8" s="6" customFormat="1" ht="20.100000000000001" customHeight="1" x14ac:dyDescent="0.25">
      <c r="A5" s="13" t="s">
        <v>7</v>
      </c>
      <c r="B5" s="8" t="s">
        <v>23</v>
      </c>
      <c r="C5" s="14" t="s">
        <v>24</v>
      </c>
      <c r="D5" s="14" t="s">
        <v>25</v>
      </c>
      <c r="E5" s="10" t="s">
        <v>26</v>
      </c>
      <c r="F5" s="8" t="s">
        <v>27</v>
      </c>
      <c r="G5" s="10" t="s">
        <v>28</v>
      </c>
      <c r="H5" s="14">
        <f>COUNTIF($D$2:$D$35,"Baixo")</f>
        <v>2</v>
      </c>
    </row>
    <row r="6" spans="1:8" s="6" customFormat="1" ht="20.100000000000001" customHeight="1" x14ac:dyDescent="0.25">
      <c r="A6" s="13" t="s">
        <v>7</v>
      </c>
      <c r="B6" s="8" t="s">
        <v>29</v>
      </c>
      <c r="C6" s="14" t="s">
        <v>15</v>
      </c>
      <c r="D6" s="14" t="s">
        <v>25</v>
      </c>
      <c r="E6" s="10" t="s">
        <v>30</v>
      </c>
      <c r="F6" s="8" t="s">
        <v>31</v>
      </c>
      <c r="G6" s="10"/>
      <c r="H6" s="14"/>
    </row>
    <row r="7" spans="1:8" s="6" customFormat="1" ht="20.100000000000001" customHeight="1" x14ac:dyDescent="0.25">
      <c r="A7" s="13" t="s">
        <v>7</v>
      </c>
      <c r="B7" s="8" t="s">
        <v>32</v>
      </c>
      <c r="C7" s="14" t="s">
        <v>15</v>
      </c>
      <c r="D7" s="14" t="s">
        <v>25</v>
      </c>
      <c r="E7" s="10" t="s">
        <v>33</v>
      </c>
      <c r="F7" s="8" t="s">
        <v>34</v>
      </c>
      <c r="G7" s="10"/>
      <c r="H7" s="14"/>
    </row>
    <row r="8" spans="1:8" s="6" customFormat="1" ht="20.100000000000001" customHeight="1" x14ac:dyDescent="0.25">
      <c r="A8" s="13" t="s">
        <v>7</v>
      </c>
      <c r="B8" s="8" t="s">
        <v>35</v>
      </c>
      <c r="C8" s="14" t="s">
        <v>36</v>
      </c>
      <c r="D8" s="14" t="s">
        <v>25</v>
      </c>
      <c r="E8" s="10" t="s">
        <v>37</v>
      </c>
      <c r="F8" s="8" t="s">
        <v>38</v>
      </c>
      <c r="G8" s="10"/>
      <c r="H8" s="14"/>
    </row>
    <row r="9" spans="1:8" s="6" customFormat="1" ht="20.100000000000001" customHeight="1" x14ac:dyDescent="0.25">
      <c r="A9" s="13" t="s">
        <v>7</v>
      </c>
      <c r="B9" s="8" t="s">
        <v>39</v>
      </c>
      <c r="C9" s="14" t="s">
        <v>40</v>
      </c>
      <c r="D9" s="14" t="s">
        <v>41</v>
      </c>
      <c r="E9" s="10" t="s">
        <v>42</v>
      </c>
      <c r="F9" s="8" t="s">
        <v>43</v>
      </c>
      <c r="G9" s="10"/>
      <c r="H9" s="14"/>
    </row>
    <row r="10" spans="1:8" s="6" customFormat="1" ht="20.100000000000001" customHeight="1" x14ac:dyDescent="0.25">
      <c r="A10" s="13" t="s">
        <v>44</v>
      </c>
      <c r="B10" s="8" t="s">
        <v>45</v>
      </c>
      <c r="C10" s="14" t="s">
        <v>9</v>
      </c>
      <c r="D10" s="14" t="s">
        <v>10</v>
      </c>
      <c r="E10" s="10" t="s">
        <v>46</v>
      </c>
      <c r="F10" s="8" t="s">
        <v>47</v>
      </c>
      <c r="G10" s="10"/>
      <c r="H10" s="14"/>
    </row>
    <row r="11" spans="1:8" s="6" customFormat="1" ht="20.100000000000001" customHeight="1" x14ac:dyDescent="0.25">
      <c r="A11" s="13" t="s">
        <v>44</v>
      </c>
      <c r="B11" s="8" t="s">
        <v>48</v>
      </c>
      <c r="C11" s="14" t="s">
        <v>15</v>
      </c>
      <c r="D11" s="14" t="s">
        <v>10</v>
      </c>
      <c r="E11" s="10" t="s">
        <v>49</v>
      </c>
      <c r="F11" s="8" t="s">
        <v>50</v>
      </c>
      <c r="G11" s="10"/>
      <c r="H11" s="14"/>
    </row>
    <row r="12" spans="1:8" s="6" customFormat="1" ht="20.100000000000001" customHeight="1" x14ac:dyDescent="0.25">
      <c r="A12" s="13" t="s">
        <v>44</v>
      </c>
      <c r="B12" s="8" t="s">
        <v>51</v>
      </c>
      <c r="C12" s="14" t="s">
        <v>15</v>
      </c>
      <c r="D12" s="14" t="s">
        <v>10</v>
      </c>
      <c r="E12" s="10" t="s">
        <v>52</v>
      </c>
      <c r="F12" s="8" t="s">
        <v>53</v>
      </c>
      <c r="G12" s="10"/>
      <c r="H12" s="14"/>
    </row>
    <row r="13" spans="1:8" s="6" customFormat="1" ht="20.100000000000001" customHeight="1" x14ac:dyDescent="0.25">
      <c r="A13" s="13" t="s">
        <v>44</v>
      </c>
      <c r="B13" s="8" t="s">
        <v>54</v>
      </c>
      <c r="C13" s="14" t="s">
        <v>24</v>
      </c>
      <c r="D13" s="14" t="s">
        <v>25</v>
      </c>
      <c r="E13" s="10" t="s">
        <v>55</v>
      </c>
      <c r="F13" s="8" t="s">
        <v>56</v>
      </c>
      <c r="G13" s="10"/>
      <c r="H13" s="14"/>
    </row>
    <row r="14" spans="1:8" s="6" customFormat="1" ht="20.100000000000001" customHeight="1" x14ac:dyDescent="0.25">
      <c r="A14" s="13" t="s">
        <v>44</v>
      </c>
      <c r="B14" s="8" t="s">
        <v>57</v>
      </c>
      <c r="C14" s="14" t="s">
        <v>15</v>
      </c>
      <c r="D14" s="14" t="s">
        <v>25</v>
      </c>
      <c r="E14" s="10" t="s">
        <v>58</v>
      </c>
      <c r="F14" s="8" t="s">
        <v>59</v>
      </c>
      <c r="G14" s="10"/>
      <c r="H14" s="14"/>
    </row>
    <row r="15" spans="1:8" s="6" customFormat="1" ht="20.100000000000001" customHeight="1" x14ac:dyDescent="0.25">
      <c r="A15" s="13" t="s">
        <v>44</v>
      </c>
      <c r="B15" s="8" t="s">
        <v>60</v>
      </c>
      <c r="C15" s="14" t="s">
        <v>15</v>
      </c>
      <c r="D15" s="14" t="s">
        <v>25</v>
      </c>
      <c r="E15" s="10" t="s">
        <v>49</v>
      </c>
      <c r="F15" s="8" t="s">
        <v>61</v>
      </c>
      <c r="G15" s="10"/>
      <c r="H15" s="14"/>
    </row>
    <row r="16" spans="1:8" s="6" customFormat="1" ht="20.100000000000001" customHeight="1" x14ac:dyDescent="0.25">
      <c r="A16" s="13" t="s">
        <v>44</v>
      </c>
      <c r="B16" s="8" t="s">
        <v>35</v>
      </c>
      <c r="C16" s="14" t="s">
        <v>36</v>
      </c>
      <c r="D16" s="14" t="s">
        <v>25</v>
      </c>
      <c r="E16" s="10" t="s">
        <v>62</v>
      </c>
      <c r="F16" s="8" t="s">
        <v>63</v>
      </c>
      <c r="G16" s="10"/>
      <c r="H16" s="14"/>
    </row>
    <row r="17" spans="1:8" s="6" customFormat="1" ht="20.100000000000001" customHeight="1" x14ac:dyDescent="0.25">
      <c r="A17" s="13" t="s">
        <v>44</v>
      </c>
      <c r="B17" s="8" t="s">
        <v>64</v>
      </c>
      <c r="C17" s="14" t="s">
        <v>65</v>
      </c>
      <c r="D17" s="14" t="s">
        <v>25</v>
      </c>
      <c r="E17" s="10" t="s">
        <v>66</v>
      </c>
      <c r="F17" s="8" t="s">
        <v>67</v>
      </c>
      <c r="G17" s="10"/>
      <c r="H17" s="14"/>
    </row>
    <row r="18" spans="1:8" s="6" customFormat="1" ht="20.100000000000001" customHeight="1" x14ac:dyDescent="0.25">
      <c r="A18" s="13" t="s">
        <v>68</v>
      </c>
      <c r="B18" s="8" t="s">
        <v>69</v>
      </c>
      <c r="C18" s="14" t="s">
        <v>40</v>
      </c>
      <c r="D18" s="14" t="s">
        <v>10</v>
      </c>
      <c r="E18" s="10" t="s">
        <v>70</v>
      </c>
      <c r="F18" s="8" t="s">
        <v>71</v>
      </c>
      <c r="G18" s="10"/>
      <c r="H18" s="14"/>
    </row>
    <row r="19" spans="1:8" s="6" customFormat="1" ht="20.100000000000001" customHeight="1" x14ac:dyDescent="0.25">
      <c r="A19" s="13" t="s">
        <v>68</v>
      </c>
      <c r="B19" s="8" t="s">
        <v>72</v>
      </c>
      <c r="C19" s="14" t="s">
        <v>24</v>
      </c>
      <c r="D19" s="14" t="s">
        <v>10</v>
      </c>
      <c r="E19" s="10" t="s">
        <v>73</v>
      </c>
      <c r="F19" s="8" t="s">
        <v>74</v>
      </c>
      <c r="G19" s="10"/>
      <c r="H19" s="14"/>
    </row>
    <row r="20" spans="1:8" s="6" customFormat="1" ht="20.100000000000001" customHeight="1" x14ac:dyDescent="0.25">
      <c r="A20" s="13" t="s">
        <v>68</v>
      </c>
      <c r="B20" s="8" t="s">
        <v>75</v>
      </c>
      <c r="C20" s="14" t="s">
        <v>40</v>
      </c>
      <c r="D20" s="14" t="s">
        <v>10</v>
      </c>
      <c r="E20" s="10" t="s">
        <v>76</v>
      </c>
      <c r="F20" s="8" t="s">
        <v>77</v>
      </c>
      <c r="G20" s="10"/>
      <c r="H20" s="14"/>
    </row>
    <row r="21" spans="1:8" s="6" customFormat="1" ht="20.100000000000001" customHeight="1" x14ac:dyDescent="0.25">
      <c r="A21" s="13" t="s">
        <v>68</v>
      </c>
      <c r="B21" s="8" t="s">
        <v>78</v>
      </c>
      <c r="C21" s="14" t="s">
        <v>65</v>
      </c>
      <c r="D21" s="14" t="s">
        <v>10</v>
      </c>
      <c r="E21" s="10" t="s">
        <v>79</v>
      </c>
      <c r="F21" s="8" t="s">
        <v>80</v>
      </c>
      <c r="G21" s="10"/>
      <c r="H21" s="14"/>
    </row>
    <row r="22" spans="1:8" s="6" customFormat="1" ht="20.100000000000001" customHeight="1" x14ac:dyDescent="0.25">
      <c r="A22" s="13" t="s">
        <v>68</v>
      </c>
      <c r="B22" s="8" t="s">
        <v>81</v>
      </c>
      <c r="C22" s="14" t="s">
        <v>15</v>
      </c>
      <c r="D22" s="14" t="s">
        <v>10</v>
      </c>
      <c r="E22" s="10" t="s">
        <v>82</v>
      </c>
      <c r="F22" s="8" t="s">
        <v>83</v>
      </c>
      <c r="G22" s="10"/>
      <c r="H22" s="14"/>
    </row>
    <row r="23" spans="1:8" s="6" customFormat="1" ht="20.100000000000001" customHeight="1" x14ac:dyDescent="0.25">
      <c r="A23" s="13" t="s">
        <v>68</v>
      </c>
      <c r="B23" s="8" t="s">
        <v>84</v>
      </c>
      <c r="C23" s="14" t="s">
        <v>85</v>
      </c>
      <c r="D23" s="14" t="s">
        <v>25</v>
      </c>
      <c r="E23" s="10" t="s">
        <v>79</v>
      </c>
      <c r="F23" s="8" t="s">
        <v>86</v>
      </c>
      <c r="G23" s="10"/>
      <c r="H23" s="14"/>
    </row>
    <row r="24" spans="1:8" s="6" customFormat="1" ht="20.100000000000001" customHeight="1" x14ac:dyDescent="0.25">
      <c r="A24" s="13" t="s">
        <v>68</v>
      </c>
      <c r="B24" s="8" t="s">
        <v>87</v>
      </c>
      <c r="C24" s="14" t="s">
        <v>36</v>
      </c>
      <c r="D24" s="14" t="s">
        <v>25</v>
      </c>
      <c r="E24" s="10" t="s">
        <v>88</v>
      </c>
      <c r="F24" s="8" t="s">
        <v>63</v>
      </c>
      <c r="G24" s="10"/>
      <c r="H24" s="14"/>
    </row>
    <row r="25" spans="1:8" s="6" customFormat="1" ht="20.100000000000001" customHeight="1" x14ac:dyDescent="0.25">
      <c r="A25" s="13" t="s">
        <v>68</v>
      </c>
      <c r="B25" s="8" t="s">
        <v>89</v>
      </c>
      <c r="C25" s="14" t="s">
        <v>15</v>
      </c>
      <c r="D25" s="14" t="s">
        <v>41</v>
      </c>
      <c r="E25" s="10" t="s">
        <v>90</v>
      </c>
      <c r="F25" s="8" t="s">
        <v>91</v>
      </c>
      <c r="G25" s="10"/>
      <c r="H25" s="14"/>
    </row>
    <row r="26" spans="1:8" s="6" customFormat="1" ht="20.100000000000001" customHeight="1" x14ac:dyDescent="0.25">
      <c r="A26" s="13" t="s">
        <v>92</v>
      </c>
      <c r="B26" s="8" t="s">
        <v>93</v>
      </c>
      <c r="C26" s="14" t="s">
        <v>94</v>
      </c>
      <c r="D26" s="14" t="s">
        <v>10</v>
      </c>
      <c r="E26" s="10" t="s">
        <v>95</v>
      </c>
      <c r="F26" s="8" t="s">
        <v>96</v>
      </c>
      <c r="G26" s="10"/>
      <c r="H26" s="14"/>
    </row>
    <row r="27" spans="1:8" s="6" customFormat="1" ht="20.100000000000001" customHeight="1" x14ac:dyDescent="0.25">
      <c r="A27" s="13" t="s">
        <v>92</v>
      </c>
      <c r="B27" s="8" t="s">
        <v>97</v>
      </c>
      <c r="C27" s="14" t="s">
        <v>15</v>
      </c>
      <c r="D27" s="14" t="s">
        <v>10</v>
      </c>
      <c r="E27" s="10" t="s">
        <v>98</v>
      </c>
      <c r="F27" s="8" t="s">
        <v>99</v>
      </c>
      <c r="G27" s="10"/>
      <c r="H27" s="14"/>
    </row>
    <row r="28" spans="1:8" s="6" customFormat="1" ht="20.100000000000001" customHeight="1" x14ac:dyDescent="0.25">
      <c r="A28" s="13" t="s">
        <v>92</v>
      </c>
      <c r="B28" s="8" t="s">
        <v>100</v>
      </c>
      <c r="C28" s="14" t="s">
        <v>65</v>
      </c>
      <c r="D28" s="14" t="s">
        <v>10</v>
      </c>
      <c r="E28" s="10" t="s">
        <v>101</v>
      </c>
      <c r="F28" s="8" t="s">
        <v>102</v>
      </c>
      <c r="G28" s="10"/>
      <c r="H28" s="14"/>
    </row>
    <row r="29" spans="1:8" s="6" customFormat="1" ht="20.100000000000001" customHeight="1" x14ac:dyDescent="0.25">
      <c r="A29" s="13" t="s">
        <v>92</v>
      </c>
      <c r="B29" s="8" t="s">
        <v>103</v>
      </c>
      <c r="C29" s="14" t="s">
        <v>15</v>
      </c>
      <c r="D29" s="14" t="s">
        <v>10</v>
      </c>
      <c r="E29" s="10" t="s">
        <v>104</v>
      </c>
      <c r="F29" s="8" t="s">
        <v>105</v>
      </c>
      <c r="G29" s="10"/>
      <c r="H29" s="14"/>
    </row>
    <row r="30" spans="1:8" s="6" customFormat="1" ht="20.100000000000001" customHeight="1" x14ac:dyDescent="0.25">
      <c r="A30" s="13" t="s">
        <v>92</v>
      </c>
      <c r="B30" s="8" t="s">
        <v>72</v>
      </c>
      <c r="C30" s="14" t="s">
        <v>24</v>
      </c>
      <c r="D30" s="14" t="s">
        <v>25</v>
      </c>
      <c r="E30" s="10" t="s">
        <v>106</v>
      </c>
      <c r="F30" s="8" t="s">
        <v>74</v>
      </c>
      <c r="G30" s="10"/>
      <c r="H30" s="14"/>
    </row>
    <row r="31" spans="1:8" s="6" customFormat="1" ht="20.100000000000001" customHeight="1" x14ac:dyDescent="0.25">
      <c r="A31" s="13" t="s">
        <v>92</v>
      </c>
      <c r="B31" s="8" t="s">
        <v>107</v>
      </c>
      <c r="C31" s="14" t="s">
        <v>15</v>
      </c>
      <c r="D31" s="14" t="s">
        <v>25</v>
      </c>
      <c r="E31" s="10" t="s">
        <v>108</v>
      </c>
      <c r="F31" s="8" t="s">
        <v>109</v>
      </c>
      <c r="G31" s="10"/>
      <c r="H31" s="14"/>
    </row>
    <row r="32" spans="1:8" s="6" customFormat="1" ht="20.100000000000001" customHeight="1" x14ac:dyDescent="0.25">
      <c r="A32" s="13" t="s">
        <v>92</v>
      </c>
      <c r="B32" s="8" t="s">
        <v>110</v>
      </c>
      <c r="C32" s="14" t="s">
        <v>40</v>
      </c>
      <c r="D32" s="14" t="s">
        <v>25</v>
      </c>
      <c r="E32" s="10" t="s">
        <v>111</v>
      </c>
      <c r="F32" s="8" t="s">
        <v>112</v>
      </c>
      <c r="G32" s="10"/>
      <c r="H32" s="14"/>
    </row>
    <row r="33" spans="1:8" s="6" customFormat="1" ht="20.100000000000001" customHeight="1" x14ac:dyDescent="0.25">
      <c r="A33" s="13" t="s">
        <v>92</v>
      </c>
      <c r="B33" s="8" t="s">
        <v>113</v>
      </c>
      <c r="C33" s="14" t="s">
        <v>36</v>
      </c>
      <c r="D33" s="14" t="s">
        <v>25</v>
      </c>
      <c r="E33" s="10" t="s">
        <v>88</v>
      </c>
      <c r="F33" s="8" t="s">
        <v>63</v>
      </c>
      <c r="G33" s="10"/>
      <c r="H33" s="14"/>
    </row>
    <row r="34" spans="1:8" s="6" customFormat="1" ht="20.100000000000001" customHeight="1" x14ac:dyDescent="0.25">
      <c r="A34" s="13" t="s">
        <v>92</v>
      </c>
      <c r="B34" s="8" t="s">
        <v>114</v>
      </c>
      <c r="C34" s="14" t="s">
        <v>15</v>
      </c>
      <c r="D34" s="14" t="s">
        <v>25</v>
      </c>
      <c r="E34" s="10" t="s">
        <v>115</v>
      </c>
      <c r="F34" s="8" t="s">
        <v>116</v>
      </c>
      <c r="G34" s="10"/>
      <c r="H34" s="14"/>
    </row>
    <row r="35" spans="1:8" s="6" customFormat="1" ht="20.100000000000001" customHeight="1" x14ac:dyDescent="0.25">
      <c r="A35" s="13" t="s">
        <v>92</v>
      </c>
      <c r="B35" s="8" t="s">
        <v>117</v>
      </c>
      <c r="C35" s="14" t="s">
        <v>15</v>
      </c>
      <c r="D35" s="14" t="s">
        <v>25</v>
      </c>
      <c r="E35" s="10" t="s">
        <v>118</v>
      </c>
      <c r="F35" s="8" t="s">
        <v>119</v>
      </c>
      <c r="G35" s="10"/>
      <c r="H35" s="14"/>
    </row>
  </sheetData>
  <pageMargins left="0.511811024" right="0.511811024" top="0.78740157499999996" bottom="0.78740157499999996" header="0.31496062000000002" footer="0.31496062000000002"/>
  <ignoredErrors>
    <ignoredError sqref="A1:F35 G1:H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showGridLines="0" workbookViewId="0">
      <selection activeCell="D20" sqref="D20"/>
    </sheetView>
  </sheetViews>
  <sheetFormatPr defaultRowHeight="12.75" x14ac:dyDescent="0.25"/>
  <cols>
    <col min="1" max="1" width="27.5" style="5" customWidth="1"/>
    <col min="2" max="2" width="15.25" style="7" customWidth="1"/>
    <col min="3" max="3" width="16.875" style="7" customWidth="1"/>
    <col min="4" max="4" width="17.625" style="7" customWidth="1"/>
    <col min="5" max="5" width="44.875" style="5" customWidth="1"/>
    <col min="6" max="6" width="14" style="7" customWidth="1"/>
    <col min="7" max="7" width="22.375" style="6" customWidth="1"/>
    <col min="8" max="16384" width="9" style="6"/>
  </cols>
  <sheetData>
    <row r="1" spans="1:8" s="4" customFormat="1" ht="31.5" x14ac:dyDescent="0.25">
      <c r="A1" s="3" t="s">
        <v>120</v>
      </c>
      <c r="B1" s="3" t="s">
        <v>121</v>
      </c>
      <c r="C1" s="3" t="s">
        <v>122</v>
      </c>
      <c r="D1" s="3" t="s">
        <v>123</v>
      </c>
      <c r="E1" s="3" t="s">
        <v>124</v>
      </c>
      <c r="F1" s="3" t="s">
        <v>125</v>
      </c>
      <c r="G1" s="4" t="s">
        <v>6</v>
      </c>
    </row>
    <row r="2" spans="1:8" ht="38.25" x14ac:dyDescent="0.25">
      <c r="A2" s="8" t="s">
        <v>126</v>
      </c>
      <c r="B2" s="9" t="s">
        <v>127</v>
      </c>
      <c r="C2" s="9" t="s">
        <v>128</v>
      </c>
      <c r="D2" s="9" t="s">
        <v>129</v>
      </c>
      <c r="E2" s="8" t="s">
        <v>130</v>
      </c>
      <c r="F2" s="9" t="s">
        <v>131</v>
      </c>
      <c r="G2" s="10" t="s">
        <v>132</v>
      </c>
      <c r="H2" s="10">
        <f>COUNTA($A$2:$A$23)</f>
        <v>22</v>
      </c>
    </row>
    <row r="3" spans="1:8" ht="21.95" customHeight="1" x14ac:dyDescent="0.25">
      <c r="A3" s="8" t="s">
        <v>133</v>
      </c>
      <c r="B3" s="9" t="s">
        <v>134</v>
      </c>
      <c r="C3" s="9" t="s">
        <v>44</v>
      </c>
      <c r="D3" s="9" t="s">
        <v>135</v>
      </c>
      <c r="E3" s="8" t="s">
        <v>136</v>
      </c>
      <c r="F3" s="9" t="s">
        <v>137</v>
      </c>
      <c r="G3" s="10" t="s">
        <v>138</v>
      </c>
      <c r="H3" s="10">
        <f>COUNTIF($D$2:$D$23,"Mensal")</f>
        <v>10</v>
      </c>
    </row>
    <row r="4" spans="1:8" ht="25.5" x14ac:dyDescent="0.25">
      <c r="A4" s="8" t="s">
        <v>139</v>
      </c>
      <c r="B4" s="9" t="s">
        <v>140</v>
      </c>
      <c r="C4" s="9" t="s">
        <v>44</v>
      </c>
      <c r="D4" s="9" t="s">
        <v>129</v>
      </c>
      <c r="E4" s="8" t="s">
        <v>141</v>
      </c>
      <c r="F4" s="9" t="s">
        <v>142</v>
      </c>
      <c r="G4" s="10" t="s">
        <v>143</v>
      </c>
      <c r="H4" s="10">
        <f>COUNTIF($D$2:$D$23,"Semanal*")</f>
        <v>6</v>
      </c>
    </row>
    <row r="5" spans="1:8" ht="21.95" customHeight="1" x14ac:dyDescent="0.25">
      <c r="A5" s="8" t="s">
        <v>144</v>
      </c>
      <c r="B5" s="9" t="s">
        <v>140</v>
      </c>
      <c r="C5" s="9" t="s">
        <v>7</v>
      </c>
      <c r="D5" s="9" t="s">
        <v>145</v>
      </c>
      <c r="E5" s="8" t="s">
        <v>146</v>
      </c>
      <c r="F5" s="9" t="s">
        <v>142</v>
      </c>
      <c r="G5" s="10" t="s">
        <v>147</v>
      </c>
      <c r="H5" s="10">
        <f>COUNTIF($D$2:$D$23,"*Semanal*")</f>
        <v>6</v>
      </c>
    </row>
    <row r="6" spans="1:8" ht="25.5" x14ac:dyDescent="0.25">
      <c r="A6" s="8" t="s">
        <v>99</v>
      </c>
      <c r="B6" s="9" t="s">
        <v>115</v>
      </c>
      <c r="C6" s="9" t="s">
        <v>92</v>
      </c>
      <c r="D6" s="9" t="s">
        <v>148</v>
      </c>
      <c r="E6" s="8" t="s">
        <v>149</v>
      </c>
      <c r="F6" s="9" t="s">
        <v>131</v>
      </c>
      <c r="G6" s="10"/>
      <c r="H6" s="10"/>
    </row>
    <row r="7" spans="1:8" ht="21.95" customHeight="1" x14ac:dyDescent="0.25">
      <c r="A7" s="8" t="s">
        <v>150</v>
      </c>
      <c r="B7" s="9" t="s">
        <v>115</v>
      </c>
      <c r="C7" s="9" t="s">
        <v>92</v>
      </c>
      <c r="D7" s="9" t="s">
        <v>129</v>
      </c>
      <c r="E7" s="8" t="s">
        <v>151</v>
      </c>
      <c r="F7" s="9" t="s">
        <v>131</v>
      </c>
      <c r="G7" s="10"/>
      <c r="H7" s="10"/>
    </row>
    <row r="8" spans="1:8" ht="21.95" customHeight="1" x14ac:dyDescent="0.25">
      <c r="A8" s="8" t="s">
        <v>152</v>
      </c>
      <c r="B8" s="9" t="s">
        <v>95</v>
      </c>
      <c r="C8" s="9" t="s">
        <v>92</v>
      </c>
      <c r="D8" s="9" t="s">
        <v>129</v>
      </c>
      <c r="E8" s="8" t="s">
        <v>153</v>
      </c>
      <c r="F8" s="9" t="s">
        <v>142</v>
      </c>
      <c r="G8" s="10"/>
      <c r="H8" s="10"/>
    </row>
    <row r="9" spans="1:8" ht="21.95" customHeight="1" x14ac:dyDescent="0.25">
      <c r="A9" s="8" t="s">
        <v>154</v>
      </c>
      <c r="B9" s="9" t="s">
        <v>155</v>
      </c>
      <c r="C9" s="9" t="s">
        <v>92</v>
      </c>
      <c r="D9" s="9" t="s">
        <v>129</v>
      </c>
      <c r="E9" s="8" t="s">
        <v>156</v>
      </c>
      <c r="F9" s="9" t="s">
        <v>157</v>
      </c>
      <c r="G9" s="10"/>
      <c r="H9" s="10"/>
    </row>
    <row r="10" spans="1:8" ht="25.5" x14ac:dyDescent="0.25">
      <c r="A10" s="8" t="s">
        <v>158</v>
      </c>
      <c r="B10" s="9" t="s">
        <v>159</v>
      </c>
      <c r="C10" s="9" t="s">
        <v>92</v>
      </c>
      <c r="D10" s="9" t="s">
        <v>160</v>
      </c>
      <c r="E10" s="8" t="s">
        <v>161</v>
      </c>
      <c r="F10" s="9" t="s">
        <v>162</v>
      </c>
      <c r="G10" s="10"/>
      <c r="H10" s="10"/>
    </row>
    <row r="11" spans="1:8" ht="21.95" customHeight="1" x14ac:dyDescent="0.25">
      <c r="A11" s="8" t="s">
        <v>163</v>
      </c>
      <c r="B11" s="9" t="s">
        <v>88</v>
      </c>
      <c r="C11" s="9" t="s">
        <v>164</v>
      </c>
      <c r="D11" s="9" t="s">
        <v>148</v>
      </c>
      <c r="E11" s="8" t="s">
        <v>165</v>
      </c>
      <c r="F11" s="9" t="s">
        <v>166</v>
      </c>
      <c r="G11" s="10"/>
      <c r="H11" s="10"/>
    </row>
    <row r="12" spans="1:8" ht="21.95" customHeight="1" x14ac:dyDescent="0.25">
      <c r="A12" s="8" t="s">
        <v>167</v>
      </c>
      <c r="B12" s="9" t="s">
        <v>168</v>
      </c>
      <c r="C12" s="9" t="s">
        <v>92</v>
      </c>
      <c r="D12" s="9" t="s">
        <v>148</v>
      </c>
      <c r="E12" s="8" t="s">
        <v>169</v>
      </c>
      <c r="F12" s="9" t="s">
        <v>170</v>
      </c>
      <c r="G12" s="10"/>
      <c r="H12" s="10"/>
    </row>
    <row r="13" spans="1:8" ht="21.95" customHeight="1" x14ac:dyDescent="0.25">
      <c r="A13" s="8" t="s">
        <v>171</v>
      </c>
      <c r="B13" s="9" t="s">
        <v>172</v>
      </c>
      <c r="C13" s="9" t="s">
        <v>92</v>
      </c>
      <c r="D13" s="9" t="s">
        <v>148</v>
      </c>
      <c r="E13" s="8" t="s">
        <v>173</v>
      </c>
      <c r="F13" s="9" t="s">
        <v>174</v>
      </c>
      <c r="G13" s="10"/>
      <c r="H13" s="10"/>
    </row>
    <row r="14" spans="1:8" ht="25.5" x14ac:dyDescent="0.25">
      <c r="A14" s="8" t="s">
        <v>175</v>
      </c>
      <c r="B14" s="9" t="s">
        <v>176</v>
      </c>
      <c r="C14" s="9" t="s">
        <v>177</v>
      </c>
      <c r="D14" s="9" t="s">
        <v>178</v>
      </c>
      <c r="E14" s="8" t="s">
        <v>179</v>
      </c>
      <c r="F14" s="9" t="s">
        <v>180</v>
      </c>
      <c r="G14" s="10"/>
      <c r="H14" s="10"/>
    </row>
    <row r="15" spans="1:8" ht="21.95" customHeight="1" x14ac:dyDescent="0.25">
      <c r="A15" s="8" t="s">
        <v>181</v>
      </c>
      <c r="B15" s="9" t="s">
        <v>79</v>
      </c>
      <c r="C15" s="9" t="s">
        <v>68</v>
      </c>
      <c r="D15" s="9" t="s">
        <v>182</v>
      </c>
      <c r="E15" s="8" t="s">
        <v>183</v>
      </c>
      <c r="F15" s="9" t="s">
        <v>184</v>
      </c>
      <c r="G15" s="10"/>
      <c r="H15" s="10"/>
    </row>
    <row r="16" spans="1:8" ht="21.95" customHeight="1" x14ac:dyDescent="0.25">
      <c r="A16" s="8" t="s">
        <v>185</v>
      </c>
      <c r="B16" s="9" t="s">
        <v>186</v>
      </c>
      <c r="C16" s="9" t="s">
        <v>68</v>
      </c>
      <c r="D16" s="9" t="s">
        <v>187</v>
      </c>
      <c r="E16" s="8" t="s">
        <v>188</v>
      </c>
      <c r="F16" s="9" t="s">
        <v>189</v>
      </c>
      <c r="G16" s="10"/>
      <c r="H16" s="10"/>
    </row>
    <row r="17" spans="1:8" ht="21.95" customHeight="1" x14ac:dyDescent="0.25">
      <c r="A17" s="8" t="s">
        <v>190</v>
      </c>
      <c r="B17" s="9" t="s">
        <v>191</v>
      </c>
      <c r="C17" s="9" t="s">
        <v>68</v>
      </c>
      <c r="D17" s="9" t="s">
        <v>129</v>
      </c>
      <c r="E17" s="8" t="s">
        <v>192</v>
      </c>
      <c r="F17" s="9" t="s">
        <v>193</v>
      </c>
      <c r="G17" s="10"/>
      <c r="H17" s="10"/>
    </row>
    <row r="18" spans="1:8" ht="25.5" x14ac:dyDescent="0.25">
      <c r="A18" s="8" t="s">
        <v>194</v>
      </c>
      <c r="B18" s="9" t="s">
        <v>195</v>
      </c>
      <c r="C18" s="9" t="s">
        <v>68</v>
      </c>
      <c r="D18" s="9" t="s">
        <v>196</v>
      </c>
      <c r="E18" s="8" t="s">
        <v>197</v>
      </c>
      <c r="F18" s="9" t="s">
        <v>172</v>
      </c>
      <c r="G18" s="10"/>
      <c r="H18" s="10"/>
    </row>
    <row r="19" spans="1:8" ht="21.95" customHeight="1" x14ac:dyDescent="0.25">
      <c r="A19" s="8" t="s">
        <v>198</v>
      </c>
      <c r="B19" s="9" t="s">
        <v>199</v>
      </c>
      <c r="C19" s="9" t="s">
        <v>7</v>
      </c>
      <c r="D19" s="9" t="s">
        <v>129</v>
      </c>
      <c r="E19" s="8" t="s">
        <v>200</v>
      </c>
      <c r="F19" s="9" t="s">
        <v>174</v>
      </c>
      <c r="G19" s="10"/>
      <c r="H19" s="10"/>
    </row>
    <row r="20" spans="1:8" ht="21.95" customHeight="1" x14ac:dyDescent="0.25">
      <c r="A20" s="8" t="s">
        <v>201</v>
      </c>
      <c r="B20" s="9" t="s">
        <v>202</v>
      </c>
      <c r="C20" s="9" t="s">
        <v>203</v>
      </c>
      <c r="D20" s="9" t="s">
        <v>187</v>
      </c>
      <c r="E20" s="8" t="s">
        <v>204</v>
      </c>
      <c r="F20" s="9" t="s">
        <v>205</v>
      </c>
      <c r="G20" s="10"/>
      <c r="H20" s="10"/>
    </row>
    <row r="21" spans="1:8" ht="21.95" customHeight="1" x14ac:dyDescent="0.25">
      <c r="A21" s="8" t="s">
        <v>206</v>
      </c>
      <c r="B21" s="9" t="s">
        <v>207</v>
      </c>
      <c r="C21" s="9" t="s">
        <v>203</v>
      </c>
      <c r="D21" s="9" t="s">
        <v>129</v>
      </c>
      <c r="E21" s="8" t="s">
        <v>208</v>
      </c>
      <c r="F21" s="9" t="s">
        <v>172</v>
      </c>
      <c r="G21" s="10"/>
      <c r="H21" s="10"/>
    </row>
    <row r="22" spans="1:8" ht="21.95" customHeight="1" x14ac:dyDescent="0.25">
      <c r="A22" s="8" t="s">
        <v>209</v>
      </c>
      <c r="B22" s="9" t="s">
        <v>210</v>
      </c>
      <c r="C22" s="9" t="s">
        <v>7</v>
      </c>
      <c r="D22" s="9" t="s">
        <v>129</v>
      </c>
      <c r="E22" s="8" t="s">
        <v>211</v>
      </c>
      <c r="F22" s="9" t="s">
        <v>212</v>
      </c>
      <c r="G22" s="10"/>
      <c r="H22" s="10"/>
    </row>
    <row r="23" spans="1:8" ht="21.95" customHeight="1" x14ac:dyDescent="0.25">
      <c r="A23" s="8" t="s">
        <v>213</v>
      </c>
      <c r="B23" s="9" t="s">
        <v>214</v>
      </c>
      <c r="C23" s="9" t="s">
        <v>44</v>
      </c>
      <c r="D23" s="9" t="s">
        <v>129</v>
      </c>
      <c r="E23" s="8" t="s">
        <v>192</v>
      </c>
      <c r="F23" s="9" t="s">
        <v>215</v>
      </c>
      <c r="G23" s="10"/>
      <c r="H23" s="10"/>
    </row>
  </sheetData>
  <pageMargins left="0.511811024" right="0.511811024" top="0.78740157499999996" bottom="0.78740157499999996" header="0.31496062000000002" footer="0.31496062000000002"/>
  <ignoredErrors>
    <ignoredError sqref="A1:F23 G1:H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 de Fatores</vt:lpstr>
      <vt:lpstr>Calendário de Relatórios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Morais De Queiroz</cp:lastModifiedBy>
  <dcterms:modified xsi:type="dcterms:W3CDTF">2026-09-20T14:18:34Z</dcterms:modified>
</cp:coreProperties>
</file>